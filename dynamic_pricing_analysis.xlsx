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ka\OneDrive\Documents\My_projetcs\project_2\"/>
    </mc:Choice>
  </mc:AlternateContent>
  <xr:revisionPtr revIDLastSave="0" documentId="13_ncr:1_{00D29BEF-1FD0-4C68-BB75-932FE9A1DE55}" xr6:coauthVersionLast="47" xr6:coauthVersionMax="47" xr10:uidLastSave="{00000000-0000-0000-0000-000000000000}"/>
  <bookViews>
    <workbookView xWindow="-108" yWindow="-108" windowWidth="23256" windowHeight="13176" firstSheet="1" activeTab="5" xr2:uid="{3AE20D00-C41F-42F4-8EBF-2BB6DCEB01EF}"/>
  </bookViews>
  <sheets>
    <sheet name="revenue_summary" sheetId="2" r:id="rId1"/>
    <sheet name="category_price_demand" sheetId="3" r:id="rId2"/>
    <sheet name="competitor pricing" sheetId="4" r:id="rId3"/>
    <sheet name="discount effectiveness" sheetId="5" r:id="rId4"/>
    <sheet name="KPI_summary" sheetId="1" r:id="rId5"/>
    <sheet name="Dashboard" sheetId="6" r:id="rId6"/>
  </sheets>
  <definedNames>
    <definedName name="ExternalData_1" localSheetId="1" hidden="1">'category_price_demand'!$A$1:$C$6</definedName>
    <definedName name="ExternalData_1" localSheetId="2" hidden="1">'competitor pricing'!$A$1:$D$6</definedName>
    <definedName name="ExternalData_1" localSheetId="3" hidden="1">'discount effectiveness'!$A$1:$C$3</definedName>
    <definedName name="ExternalData_1" localSheetId="0" hidden="1">'revenue_summary'!$A$1:$A$2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EE5291-2834-40AF-A7E3-FB51C32564AF}" keepAlive="1" name="Query - category_price_demand" description="Connection to the 'category_price_demand' query in the workbook." type="5" refreshedVersion="8" background="1" saveData="1">
    <dbPr connection="Provider=Microsoft.Mashup.OleDb.1;Data Source=$Workbook$;Location=category_price_demand;Extended Properties=&quot;&quot;" command="SELECT * FROM [category_price_demand]"/>
  </connection>
  <connection id="2" xr16:uid="{14E7CC6A-98C6-411B-8406-012E4A741E83}" keepAlive="1" name="Query - competitor pricing" description="Connection to the 'competitor pricing' query in the workbook." type="5" refreshedVersion="8" background="1" saveData="1">
    <dbPr connection="Provider=Microsoft.Mashup.OleDb.1;Data Source=$Workbook$;Location=&quot;competitor pricing&quot;;Extended Properties=&quot;&quot;" command="SELECT * FROM [competitor pricing]"/>
  </connection>
  <connection id="3" xr16:uid="{F09000B1-2AA8-4CC1-BF1F-29E304973436}" keepAlive="1" name="Query - discount effectiveness" description="Connection to the 'discount effectiveness' query in the workbook." type="5" refreshedVersion="8" background="1" saveData="1">
    <dbPr connection="Provider=Microsoft.Mashup.OleDb.1;Data Source=$Workbook$;Location=&quot;discount effectiveness&quot;;Extended Properties=&quot;&quot;" command="SELECT * FROM [discount effectiveness]"/>
  </connection>
  <connection id="4" xr16:uid="{188D7034-B09A-4531-B5C5-2E019D421642}" keepAlive="1" name="Query - revenue_summary" description="Connection to the 'revenue_summary' query in the workbook." type="5" refreshedVersion="8" background="1" saveData="1">
    <dbPr connection="Provider=Microsoft.Mashup.OleDb.1;Data Source=$Workbook$;Location=revenue_summary;Extended Properties=&quot;&quot;" command="SELECT * FROM [revenue_summ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<sst xmlns="http://schemas.openxmlformats.org/spreadsheetml/2006/main" count="29" uniqueCount="21">
  <si>
    <t>total_revenue</t>
  </si>
  <si>
    <t>Category</t>
  </si>
  <si>
    <t>avg_price</t>
  </si>
  <si>
    <t>avg_units_sold</t>
  </si>
  <si>
    <t>Furniture</t>
  </si>
  <si>
    <t>Groceries</t>
  </si>
  <si>
    <t>Clothing</t>
  </si>
  <si>
    <t>Toys</t>
  </si>
  <si>
    <t>Electronics</t>
  </si>
  <si>
    <t>our_avg_price</t>
  </si>
  <si>
    <t>competitor_avg_price</t>
  </si>
  <si>
    <t>price_gap</t>
  </si>
  <si>
    <t>discount_band</t>
  </si>
  <si>
    <t>High Discount</t>
  </si>
  <si>
    <t>No Discount</t>
  </si>
  <si>
    <t>Dynamic Pricing KPI Summary</t>
  </si>
  <si>
    <t>Total Revenue</t>
  </si>
  <si>
    <t>Average Price</t>
  </si>
  <si>
    <t>Average Units Sold</t>
  </si>
  <si>
    <t>Average Discount (%)</t>
  </si>
  <si>
    <t>Dynamic pricing optimization for E-Commerce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</si>
</sst>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Demand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'category_price_demand'!$C$1</c:f>
              <c:strCache>
                <c:ptCount val="1"/>
                <c:pt idx="0">
                  <c:v>avg_units_sold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'category_price_demand'!$B$2:$B$6</c:f>
              <c:numCache>
                <c:formatCode>General</c:formatCode>
                <c:ptCount val="5"/>
                <c:pt idx="0">
                  <c:v>55.18</c:v>
                </c:pt>
                <c:pt idx="1">
                  <c:v>55.27</c:v>
                </c:pt>
                <c:pt idx="2">
                  <c:v>54.89</c:v>
                </c:pt>
                <c:pt idx="3">
                  <c:v>55.03</c:v>
                </c:pt>
                <c:pt idx="4">
                  <c:v>55.31</c:v>
                </c:pt>
              </c:numCache>
            </c:numRef>
          </c:xVal>
          <c:yVal>
            <c:numRef>
              <c:f>'category_price_demand'!$C$2:$C$6</c:f>
              <c:numCache>
                <c:formatCode>General</c:formatCode>
                <c:ptCount val="5"/>
                <c:pt idx="0">
                  <c:v>137.77000000000001</c:v>
                </c:pt>
                <c:pt idx="1">
                  <c:v>136.91999999999999</c:v>
                </c:pt>
                <c:pt idx="2">
                  <c:v>136.69</c:v>
                </c:pt>
                <c:pt idx="3">
                  <c:v>135.93</c:v>
                </c:pt>
                <c:pt idx="4">
                  <c:v>135.01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4-40EB-B2BC-98CA25F6F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870672"/>
        <c:axId val="456274271"/>
      </c:scatterChart>
      <c:valAx>
        <c:axId val="58187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74271"/>
        <c:crosses val="autoZero"/>
        <c:crossBetween val="midCat"/>
      </c:valAx>
      <c:valAx>
        <c:axId val="4562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7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 of Discounts on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effectiveness'!$B$1</c:f>
              <c:strCache>
                <c:ptCount val="1"/>
                <c:pt idx="0">
                  <c:v>avg_units_sold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effectiveness'!$A$2:$A$3</c:f>
              <c:strCache>
                <c:ptCount val="2"/>
                <c:pt idx="0">
                  <c:v>High Discount</c:v>
                </c:pt>
                <c:pt idx="1">
                  <c:v>No Discount</c:v>
                </c:pt>
              </c:strCache>
            </c:strRef>
          </c:cat>
          <c:val>
            <c:numRef>
              <c:f>'discount effectiveness'!$B$2:$B$3</c:f>
              <c:numCache>
                <c:formatCode>General</c:formatCode>
                <c:ptCount val="2"/>
                <c:pt idx="0">
                  <c:v>136.66</c:v>
                </c:pt>
                <c:pt idx="1">
                  <c:v>135.69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3-4123-AE3A-93809FF8C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027151"/>
        <c:axId val="577024751"/>
      </c:barChart>
      <c:catAx>
        <c:axId val="5770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24751"/>
        <c:crosses val="autoZero"/>
        <c:auto val="1"/>
        <c:lblAlgn val="ctr"/>
        <c:lblOffset val="100"/>
        <c:noMultiLvlLbl val="0"/>
      </c:catAx>
      <c:valAx>
        <c:axId val="5770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2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8</xdr:row>
      <xdr:rowOff>53340</xdr:rowOff>
    </xdr:from>
    <xdr:to>
      <xdr:col>3</xdr:col>
      <xdr:colOff>304800</xdr:colOff>
      <xdr:row>23</xdr:row>
      <xdr:rowOff>53340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E765D39-BFD0-6802-5331-A2BB58A8A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8</xdr:row>
      <xdr:rowOff>53340</xdr:rowOff>
    </xdr:from>
    <xdr:to>
      <xdr:col>11</xdr:col>
      <xdr:colOff>205740</xdr:colOff>
      <xdr:row>23</xdr:row>
      <xdr:rowOff>53340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77AECB9-97E6-88BF-039F-8ECBDD516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5987E62-BD97-4845-9E1B-32126BAFA259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2E2609-CEA9-4B18-A3AD-7E9CCA1EAB64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avg_price" tableColumnId="2"/>
      <queryTableField id="3" name="avg_units_sol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2F8350-FE20-4BEF-A90A-91524E7FAB4B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our_avg_price" tableColumnId="2"/>
      <queryTableField id="3" name="competitor_avg_price" tableColumnId="3"/>
      <queryTableField id="4" name="price_gap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27320E9-8F69-4551-AD56-419C9E25A375}" autoFormatId="16" applyNumberFormats="0" applyBorderFormats="0" applyFontFormats="0" applyPatternFormats="0" applyAlignmentFormats="0" applyWidthHeightFormats="0">
  <queryTableRefresh nextId="4">
    <queryTableFields count="3">
      <queryTableField id="1" name="discount_band" tableColumnId="1"/>
      <queryTableField id="2" name="avg_units_sold" tableColumnId="2"/>
      <queryTableField id="3" name="avg_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4E44A-D8C5-4906-86D8-75B97CC2254D}" name="revenue_summary" displayName="revenue_summary" ref="A1:A2" tableType="queryTable" totalsRowShown="0">
  <tableColumns count="1">
    <tableColumn id="1" xr3:uid="{ACB21906-ACCB-47D6-98B4-673AF2BF55FA}" uniqueName="1" name="total_revenu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C4D37-8135-4B00-AE2B-5107C4F4F51A}" name="category_price_demand" displayName="category_price_demand" ref="A1:C6" tableType="queryTable" totalsRowShown="0">
  <tableColumns count="3">
    <tableColumn id="1" xr3:uid="{DD1DF769-7322-4719-B359-49ED4470DD6B}" uniqueName="1" name="Category" queryTableFieldId="1" dataDxfId="2"/>
    <tableColumn id="2" xr3:uid="{05B4007F-28C2-4964-911C-29B888423F09}" uniqueName="2" name="avg_price" queryTableFieldId="2"/>
    <tableColumn id="3" xr3:uid="{3AE660C6-BC4D-4516-8A04-D17785161421}" uniqueName="3" name="avg_units_sol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EDE4C-A5C1-4262-BAA7-5DA0FFC9F10E}" name="competitor_pricing" displayName="competitor_pricing" ref="A1:D6" tableType="queryTable" totalsRowShown="0">
  <tableColumns count="4">
    <tableColumn id="1" xr3:uid="{6D2C39B4-8CE7-4375-BB80-CF2CE7183B70}" uniqueName="1" name="Category" queryTableFieldId="1" dataDxfId="1"/>
    <tableColumn id="2" xr3:uid="{63646BA5-C588-43CD-A086-D021E7137F9F}" uniqueName="2" name="our_avg_price" queryTableFieldId="2"/>
    <tableColumn id="3" xr3:uid="{4C07F79C-A539-497A-ADD5-912EC89E83CD}" uniqueName="3" name="competitor_avg_price" queryTableFieldId="3"/>
    <tableColumn id="4" xr3:uid="{ACE02D0D-F595-4144-BDC8-F3504C849D31}" uniqueName="4" name="price_gap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75101B-0C04-4F98-921F-8FEA0E07C6EE}" name="discount_effectiveness" displayName="discount_effectiveness" ref="A1:C3" tableType="queryTable" totalsRowShown="0">
  <tableColumns count="3">
    <tableColumn id="1" xr3:uid="{31A1E0E4-A63C-45D6-B4C7-331C48557056}" uniqueName="1" name="discount_band" queryTableFieldId="1" dataDxfId="0"/>
    <tableColumn id="2" xr3:uid="{3231EF5C-6CD3-46A7-A8B1-E71068A51052}" uniqueName="2" name="avg_units_sold" queryTableFieldId="2"/>
    <tableColumn id="3" xr3:uid="{2B60720E-5739-429F-A808-E0F2FEC4B6DA}" uniqueName="3" name="avg_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8AD2-A18D-4330-979F-304F428FC647}">
  <dimension ref="A1:A2"/>
  <sheetViews>
    <sheetView workbookViewId="0"/>
  </sheetViews>
  <sheetFormatPr defaultRowHeight="14.4"/>
  <cols>
    <col min="1" max="1" width="15" bestFit="1" customWidth="1"/>
  </cols>
  <sheetData>
    <row r="1" spans="1:1">
      <c r="A1" t="s">
        <v>0</v>
      </c>
    </row>
    <row r="2" spans="1:1">
      <c r="A2">
        <v>494971374.94999999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681B-39E0-4470-B043-8185ECFCEC1C}">
  <dimension ref="A1:C6"/>
  <sheetViews>
    <sheetView workbookViewId="0">
      <selection activeCell="C1" activeCellId="1" sqref="B1:B1048576 C1:C1048576"/>
    </sheetView>
  </sheetViews>
  <sheetFormatPr defaultRowHeight="14.4"/>
  <cols>
    <col min="1" max="1" width="10.77734375" bestFit="1" customWidth="1"/>
    <col min="2" max="2" width="11.33203125" bestFit="1" customWidth="1"/>
    <col min="3" max="3" width="15.88671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4</v>
      </c>
      <c r="B2">
        <v>55.18</v>
      </c>
      <c r="C2">
        <v>137.77000000000001</v>
      </c>
    </row>
    <row r="3" spans="1:3">
      <c r="A3" t="s">
        <v>5</v>
      </c>
      <c r="B3">
        <v>55.27</v>
      </c>
      <c r="C3">
        <v>136.91999999999999</v>
      </c>
    </row>
    <row r="4" spans="1:3">
      <c r="A4" t="s">
        <v>6</v>
      </c>
      <c r="B4">
        <v>54.89</v>
      </c>
      <c r="C4">
        <v>136.69</v>
      </c>
    </row>
    <row r="5" spans="1:3">
      <c r="A5" t="s">
        <v>7</v>
      </c>
      <c r="B5">
        <v>55.03</v>
      </c>
      <c r="C5">
        <v>135.93</v>
      </c>
    </row>
    <row r="6" spans="1:3">
      <c r="A6" t="s">
        <v>8</v>
      </c>
      <c r="B6">
        <v>55.31</v>
      </c>
      <c r="C6">
        <v>135.01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EEB5-D7F1-45BF-A945-D2835B72E454}">
  <dimension ref="A1:D6"/>
  <sheetViews>
    <sheetView workbookViewId="0"/>
  </sheetViews>
  <sheetFormatPr defaultRowHeight="14.4"/>
  <cols>
    <col min="1" max="1" width="10.77734375" bestFit="1" customWidth="1"/>
    <col min="2" max="2" width="15.33203125" bestFit="1" customWidth="1"/>
    <col min="3" max="3" width="21.88671875" bestFit="1" customWidth="1"/>
    <col min="4" max="4" width="11.44140625" bestFit="1" customWidth="1"/>
  </cols>
  <sheetData>
    <row r="1" spans="1:4">
      <c r="A1" t="s">
        <v>1</v>
      </c>
      <c r="B1" t="s">
        <v>9</v>
      </c>
      <c r="C1" t="s">
        <v>10</v>
      </c>
      <c r="D1" t="s">
        <v>11</v>
      </c>
    </row>
    <row r="2" spans="1:4">
      <c r="A2" t="s">
        <v>7</v>
      </c>
      <c r="B2">
        <v>55.03</v>
      </c>
      <c r="C2">
        <v>55.01</v>
      </c>
      <c r="D2">
        <v>0.03</v>
      </c>
    </row>
    <row r="3" spans="1:4">
      <c r="A3" t="s">
        <v>8</v>
      </c>
      <c r="B3">
        <v>55.31</v>
      </c>
      <c r="C3">
        <v>55.3</v>
      </c>
      <c r="D3">
        <v>0.01</v>
      </c>
    </row>
    <row r="4" spans="1:4">
      <c r="A4" t="s">
        <v>4</v>
      </c>
      <c r="B4">
        <v>55.18</v>
      </c>
      <c r="C4">
        <v>55.2</v>
      </c>
      <c r="D4">
        <v>-0.02</v>
      </c>
    </row>
    <row r="5" spans="1:4">
      <c r="A5" t="s">
        <v>6</v>
      </c>
      <c r="B5">
        <v>54.89</v>
      </c>
      <c r="C5">
        <v>54.92</v>
      </c>
      <c r="D5">
        <v>-0.03</v>
      </c>
    </row>
    <row r="6" spans="1:4">
      <c r="A6" t="s">
        <v>5</v>
      </c>
      <c r="B6">
        <v>55.27</v>
      </c>
      <c r="C6">
        <v>55.31</v>
      </c>
      <c r="D6">
        <v>-0.04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48A2-4075-4B36-BE9C-5F8DB09322D4}">
  <dimension ref="A1:C3"/>
  <sheetViews>
    <sheetView workbookViewId="0">
      <selection activeCell="B1" activeCellId="1" sqref="A1:A1048576 B1:B1048576"/>
    </sheetView>
  </sheetViews>
  <sheetFormatPr defaultRowHeight="14.4"/>
  <cols>
    <col min="1" max="2" width="15.88671875" bestFit="1" customWidth="1"/>
    <col min="3" max="3" width="11.33203125" bestFit="1" customWidth="1"/>
  </cols>
  <sheetData>
    <row r="1" spans="1:3">
      <c r="A1" t="s">
        <v>12</v>
      </c>
      <c r="B1" t="s">
        <v>3</v>
      </c>
      <c r="C1" t="s">
        <v>2</v>
      </c>
    </row>
    <row r="2" spans="1:3">
      <c r="A2" t="s">
        <v>13</v>
      </c>
      <c r="B2">
        <v>136.66</v>
      </c>
      <c r="C2">
        <v>55.15</v>
      </c>
    </row>
    <row r="3" spans="1:3">
      <c r="A3" t="s">
        <v>14</v>
      </c>
      <c r="B3">
        <v>135.69</v>
      </c>
      <c r="C3">
        <v>55.07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BA13-C29E-43CF-A8A9-0D15264B0C85}">
  <dimension ref="A1:B5"/>
  <sheetViews>
    <sheetView workbookViewId="0">
      <selection activeCell="B5" sqref="B5"/>
    </sheetView>
  </sheetViews>
  <sheetFormatPr defaultRowHeight="14.4"/>
  <cols>
    <col min="1" max="1" width="46.21875" customWidth="1"/>
    <col min="2" max="2" width="18.88671875" customWidth="1"/>
  </cols>
  <sheetData>
    <row r="1" spans="1:2" ht="23.4">
      <c r="A1" s="1" t="s">
        <v>15</v>
      </c>
    </row>
    <row r="2" spans="1:2">
      <c r="A2" t="s">
        <v>16</v>
      </c>
      <c r="B2" cm="1">
        <f t="array" ref="B2">revenue_summary[total_revenue]</f>
        <v>494971374.94999999</v>
      </c>
    </row>
    <row r="3" spans="1:2">
      <c r="A3" s="2" t="s">
        <v>17</v>
      </c>
      <c r="B3">
        <f>AVERAGE(category_price_demand[avg_price])</f>
        <v>55.136000000000003</v>
      </c>
    </row>
    <row r="4" spans="1:2">
      <c r="A4" t="s">
        <v>18</v>
      </c>
      <c r="B4">
        <f>AVERAGE(category_price_demand[avg_units_sold])</f>
        <v>136.464</v>
      </c>
    </row>
    <row r="5" spans="1:2">
      <c r="A5" t="s">
        <v>19</v>
      </c>
      <c r="B5">
        <f>AVERAGEIFS(
  discount_effectiveness[avg_units_sold],
  discount_effectiveness[discount_band],
  "High Discount"
)</f>
        <v>136.66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BC3C-3C01-44BE-AE9E-FEE48FF9437E}">
  <dimension ref="A1"/>
  <sheetViews>
    <sheetView tabSelected="1" workbookViewId="0">
      <selection activeCell="A3" sqref="A3"/>
    </sheetView>
  </sheetViews>
  <sheetFormatPr defaultRowHeight="14.4"/>
  <cols>
    <col min="1" max="1" width="51.44140625" customWidth="1"/>
  </cols>
  <sheetData>
    <row r="1" spans="1:1" ht="25.8">
      <c r="A1" s="3" t="s">
        <v>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830F80-559B-40ED-A6C5-38D2DC3A24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revenue_summary</vt:lpstr>
      <vt:lpstr>category_price_demand</vt:lpstr>
      <vt:lpstr>competitor pricing</vt:lpstr>
      <vt:lpstr>discount effectiveness</vt:lpstr>
      <vt:lpstr>KPI_summary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chintu</dc:creator>
  <cp:lastModifiedBy>v chintu</cp:lastModifiedBy>
  <dcterms:created xsi:type="dcterms:W3CDTF">2026-01-29T09:22:58Z</dcterms:created>
  <dcterms:modified xsi:type="dcterms:W3CDTF">2026-01-29T09:53:05Z</dcterms:modified>
</cp:coreProperties>
</file>